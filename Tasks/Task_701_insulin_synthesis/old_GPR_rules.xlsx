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E:\Git\MSP_p3_2026_hormone_cytokine_task_creation\Tasks\Task_701_insulin_synthesis\"/>
    </mc:Choice>
  </mc:AlternateContent>
  <xr:revisionPtr revIDLastSave="0" documentId="13_ncr:1_{89263859-776A-497B-8535-5DCEA8765019}" xr6:coauthVersionLast="47" xr6:coauthVersionMax="47" xr10:uidLastSave="{00000000-0000-0000-0000-000000000000}"/>
  <bookViews>
    <workbookView xWindow="0" yWindow="0" windowWidth="19200" windowHeight="21000" xr2:uid="{CD5DF94A-FED4-4ED9-B2C5-1CBFE42F25CF}"/>
  </bookViews>
  <sheets>
    <sheet name="mets" sheetId="1" r:id="rId1"/>
    <sheet name="already in the mod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<sst xmlns="http://schemas.openxmlformats.org/spreadsheetml/2006/main" count="162" uniqueCount="159">
  <si>
    <t>met_model_ID</t>
  </si>
  <si>
    <t>met_model_name</t>
  </si>
  <si>
    <t>MAM02759[c]</t>
  </si>
  <si>
    <t>PPi[c]</t>
  </si>
  <si>
    <t>MAM01334[c]</t>
  </si>
  <si>
    <t>AMP[c]</t>
  </si>
  <si>
    <t>MAM01597[c]</t>
  </si>
  <si>
    <t>CoA[c]</t>
  </si>
  <si>
    <t>MAM01371[c]</t>
  </si>
  <si>
    <t>ATP[c]</t>
  </si>
  <si>
    <t>MAM02348[c]</t>
  </si>
  <si>
    <t>L-carnitine[c]</t>
  </si>
  <si>
    <t>MAM02348[m]</t>
  </si>
  <si>
    <t>L-carnitine[m]</t>
  </si>
  <si>
    <t>MAM01802[m]</t>
  </si>
  <si>
    <t>FAD[m]</t>
  </si>
  <si>
    <t>MAM01803[m]</t>
  </si>
  <si>
    <t>FADH2[m]</t>
  </si>
  <si>
    <t>MAM01261[m]</t>
  </si>
  <si>
    <t>acetyl-CoA[m]</t>
  </si>
  <si>
    <t>MAM01597[m]</t>
  </si>
  <si>
    <t>CoA[m]</t>
  </si>
  <si>
    <t>MAM02039[m]</t>
  </si>
  <si>
    <t>H+[m]</t>
  </si>
  <si>
    <t>MAM02040[m]</t>
  </si>
  <si>
    <t>H2O[m]</t>
  </si>
  <si>
    <t>MAM02552[m]</t>
  </si>
  <si>
    <t>NAD+[m]</t>
  </si>
  <si>
    <t>MAM02553[m]</t>
  </si>
  <si>
    <t>NADH[m]</t>
  </si>
  <si>
    <t>MAM02348[x]</t>
  </si>
  <si>
    <t>L-carnitine[x]</t>
  </si>
  <si>
    <t>MAM01802[x]</t>
  </si>
  <si>
    <t>FAD[x]</t>
  </si>
  <si>
    <t>MAM01803[x]</t>
  </si>
  <si>
    <t>FADH2[x]</t>
  </si>
  <si>
    <t>MAM01261[x]</t>
  </si>
  <si>
    <t>acetyl-CoA[x]</t>
  </si>
  <si>
    <t>MAM01597[x]</t>
  </si>
  <si>
    <t>CoA[x]</t>
  </si>
  <si>
    <t>MAM02039[x]</t>
  </si>
  <si>
    <t>H+[x]</t>
  </si>
  <si>
    <t>MAM02040[x]</t>
  </si>
  <si>
    <t>H2O[x]</t>
  </si>
  <si>
    <t>MAM02552[x]</t>
  </si>
  <si>
    <t>NAD[x]</t>
  </si>
  <si>
    <t>MAM02553[x]</t>
  </si>
  <si>
    <t>NADH[x]</t>
  </si>
  <si>
    <t>GPR rule name</t>
  </si>
  <si>
    <t>GPRs</t>
  </si>
  <si>
    <t>Genes</t>
  </si>
  <si>
    <t>notes</t>
  </si>
  <si>
    <t>SRP</t>
  </si>
  <si>
    <t>ENSG00000143742 &amp; ENSG00000140319 &amp; ENSG00000153037 &amp; ENSG00000100883 &amp; ENSG00000167881 &amp; ENSG00000174780</t>
  </si>
  <si>
    <t>SRP-receptor</t>
  </si>
  <si>
    <t>(ENSG00000182934 &amp; ENSG00000144867)</t>
  </si>
  <si>
    <t>Seems to be protein-product independent, goes together with SRP receptor</t>
  </si>
  <si>
    <t>SRP receptor and sec61 go together in SRP-dependent translocation. There also exists a Sec62-dependent translocation</t>
  </si>
  <si>
    <t>Sec62 works together with SRP and sec61, OR in the above SRP-receptor manner, see:</t>
  </si>
  <si>
    <t>SEC61A1</t>
  </si>
  <si>
    <t>SEC61A2</t>
  </si>
  <si>
    <t>((ENSG00000058262 | ENSG00000065665) &amp; ENSG00000106803 &amp; ENSG00000132432)</t>
  </si>
  <si>
    <t>ENSG00000058262 &amp; ENSG00000106803 &amp; ENSG00000132432</t>
  </si>
  <si>
    <t>ENSG00000065665 &amp; ENSG00000106803 &amp; ENSG00000132432</t>
  </si>
  <si>
    <t>Sec61A1/2</t>
  </si>
  <si>
    <t>SEC61A1 &amp; SEC61A2</t>
  </si>
  <si>
    <t>A1 subunit of sec61</t>
  </si>
  <si>
    <t>A2 subunit of sec61</t>
  </si>
  <si>
    <t>SPC core</t>
  </si>
  <si>
    <t>SPC Sec11A</t>
  </si>
  <si>
    <t>SPC Sec11C</t>
  </si>
  <si>
    <t>SPC core &amp; Sec11A</t>
  </si>
  <si>
    <t>SPC core &amp; Sec11B</t>
  </si>
  <si>
    <t>ENSG00000114902 &amp; ENSG00000129128 &amp; ENSG00000118363</t>
  </si>
  <si>
    <t>(ENSG00000114902 &amp; ENSG00000129128 &amp; ENSG00000118363) &amp; (ENSG00000140612)</t>
  </si>
  <si>
    <t xml:space="preserve">(ENSG00000114902 &amp; ENSG00000129128 &amp; ENSG00000118363) &amp; (ENSG00000166562) </t>
  </si>
  <si>
    <t>SPC Sec11A/C</t>
  </si>
  <si>
    <t xml:space="preserve"> (ENSG00000114902 &amp; ENSG00000129128 &amp; ENSG00000118363) &amp; (ENSG00000140612 | ENSG00000166562)</t>
  </si>
  <si>
    <t>SPC Sec11A &amp; SPC Sec11C</t>
  </si>
  <si>
    <t>always present</t>
  </si>
  <si>
    <t>both isoforms appear used generally, but check for protein-substrates</t>
  </si>
  <si>
    <t>ERO1</t>
  </si>
  <si>
    <t>(ENSG00000197930  | ENSG00000086619)</t>
  </si>
  <si>
    <t>two paralogs which both function independently</t>
  </si>
  <si>
    <t>COPII inner coat</t>
  </si>
  <si>
    <t>COPII outer coat</t>
  </si>
  <si>
    <t>all proteins have two paralogs, except SEC24 which has 4, this means that there are a lot of complexes, and one will need to make sure that protein-substrate uses a specific subset of these</t>
  </si>
  <si>
    <t>Sec12</t>
  </si>
  <si>
    <t>SAR1</t>
  </si>
  <si>
    <r>
      <t>ENSG00000152700 |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ENSG00000079332</t>
    </r>
  </si>
  <si>
    <t xml:space="preserve">ENSG00000138073 </t>
  </si>
  <si>
    <t>alpha and beta</t>
  </si>
  <si>
    <t>works together with SAR1a/b</t>
  </si>
  <si>
    <t>SEC23</t>
  </si>
  <si>
    <t>SEC24</t>
  </si>
  <si>
    <t>ENSG00000101310 | ENSG00000100934</t>
  </si>
  <si>
    <t>ENSG00000138802 | ENSG00000176986 | ENSG00000113615 | ENSG00000150961</t>
  </si>
  <si>
    <t>4 subunits</t>
  </si>
  <si>
    <t>SAR1 &amp; SEC23 &amp; SEC24</t>
  </si>
  <si>
    <t>ENSG00000157020</t>
  </si>
  <si>
    <t>SEC13</t>
  </si>
  <si>
    <t>SEC31</t>
  </si>
  <si>
    <t>ENSG00000138674 | ENSG00000075826</t>
  </si>
  <si>
    <t>single</t>
  </si>
  <si>
    <t>SEC13 &amp; SEC31</t>
  </si>
  <si>
    <t>(ENSG00000152700 | ENSG00000079332) &amp; (ENSG00000101310 | ENSG00000100934) &amp; (ENSG00000138802 | ENSG00000176986 | ENSG00000113615 | ENSG00000150961)</t>
  </si>
  <si>
    <t>(ENSG00000157020) &amp; (ENSG00000138674 | ENSG00000075826)</t>
  </si>
  <si>
    <t>COPII core</t>
  </si>
  <si>
    <t xml:space="preserve">This would be the regular core, but make sure that all proteins are involved in the specific biosynthesis </t>
  </si>
  <si>
    <t>COPII Inner + Outer</t>
  </si>
  <si>
    <t>(ENSG00000152700 | ENSG00000079332) &amp; (ENSG00000101310 | ENSG00000100934) &amp; (ENSG00000138802 | ENSG00000176986 | ENSG00000113615 | ENSG00000150961) &amp; (ENSG00000157020) &amp; (ENSG00000138674 | ENSG00000075826)</t>
  </si>
  <si>
    <t>Sec16a</t>
  </si>
  <si>
    <t>there's a SEC16a, which wasn't important in insulin, but might be in others, update if it is</t>
  </si>
  <si>
    <t>ENSG00000109501</t>
  </si>
  <si>
    <t xml:space="preserve">WFS1 </t>
  </si>
  <si>
    <t>ENSG00000148396</t>
  </si>
  <si>
    <t>ENSG00000148248</t>
  </si>
  <si>
    <t>SURF4</t>
  </si>
  <si>
    <t>ERP29</t>
  </si>
  <si>
    <t>MIA2</t>
  </si>
  <si>
    <t>ENSG00000150527</t>
  </si>
  <si>
    <t>ENSG00000089248</t>
  </si>
  <si>
    <t>ENSG00000134049</t>
  </si>
  <si>
    <t>IER3IP1</t>
  </si>
  <si>
    <t>Insulin-specific COPII</t>
  </si>
  <si>
    <t>COPII core &amp; SEC16A &amp; WFS1 &amp; SURF4 &amp; ERP29 &amp; MIA2 &amp; IER3IP1</t>
  </si>
  <si>
    <t xml:space="preserve">(ENSG00000152700 | ENSG00000079332) &amp; (ENSG00000101310 | ENSG00000100934) &amp; (ENSG00000138802 | ENSG00000176986 | ENSG00000113615 | ENSG00000150961) &amp; (ENSG00000157020) &amp; (ENSG00000138674 | ENSG00000075826) &amp; ENSG00000148248  &amp; ENSG00000148396 &amp; ENSG00000138073 &amp; ENSG00000150527 &amp; ENSG00000134049 &amp; ENSG00000109501 &amp; ENSG00000089248 </t>
  </si>
  <si>
    <t xml:space="preserve">clathrin </t>
  </si>
  <si>
    <t>ENSG00000070371 &amp; ENSG00000141367 &amp; ENSG00000122705 &amp; ENSG00000175416</t>
  </si>
  <si>
    <t>consist of 4 types of links</t>
  </si>
  <si>
    <t>AP-1m1</t>
  </si>
  <si>
    <t>ENSG00000072958 &amp; ENSG00000166747 &amp; ENSG00000100280 &amp; ENSG00000106367</t>
  </si>
  <si>
    <t>one of the two AP1 complexes, which themselves are among AP1-AP5 complexes</t>
  </si>
  <si>
    <t>CHG</t>
  </si>
  <si>
    <t>ENSG00000276781 | ENSG00000089199</t>
  </si>
  <si>
    <t>VGF</t>
  </si>
  <si>
    <t xml:space="preserve">ENSG00000128564 </t>
  </si>
  <si>
    <t>PTPRN2</t>
  </si>
  <si>
    <t xml:space="preserve">ENSG00000104112 </t>
  </si>
  <si>
    <t xml:space="preserve">ENSG00000143761 </t>
  </si>
  <si>
    <t>SGC3</t>
  </si>
  <si>
    <t>ARF1</t>
  </si>
  <si>
    <t xml:space="preserve">ENSG00000155093 </t>
  </si>
  <si>
    <t xml:space="preserve">ENSG00000100151 </t>
  </si>
  <si>
    <t xml:space="preserve">ENSG00000003147 </t>
  </si>
  <si>
    <t>ICA1</t>
  </si>
  <si>
    <t>PICK1</t>
  </si>
  <si>
    <t>insulin-secretory-granule-clathrin</t>
  </si>
  <si>
    <t>clathrin &amp; AP-1m1 &amp; CHG &amp; VGF &amp; PTRPN2 &amp; SGC3 &amp; ARF1 &amp; PICK1 &amp; ICA1</t>
  </si>
  <si>
    <t>((ENSG00000070371 &amp; ENSG00000141367 &amp; ENSG00000122705 &amp; ENSG00000175416) &amp; (ENSG00000072958 &amp; ENSG00000166747 &amp; ENSG00000100280 &amp; ENSG00000106367) &amp; (ENSG00000276781 | ENSG00000089199) &amp; ENSG00000128564  &amp; ENSG00000155093 &amp; ENSG00000104112 &amp; ENSG00000143761 &amp; ENSG00000100151 &amp;ENSG00000003147)</t>
  </si>
  <si>
    <t>Unclear if some of the individual complexes besides AP-x and clathrin form a core process, if it appears to be the case, update accordingly</t>
  </si>
  <si>
    <t xml:space="preserve">PC2 </t>
  </si>
  <si>
    <t>ENSG00000125851</t>
  </si>
  <si>
    <t>PC1/3</t>
  </si>
  <si>
    <t>ENSG00000175426</t>
  </si>
  <si>
    <t>CPE</t>
  </si>
  <si>
    <t>ENSG00000109472</t>
  </si>
  <si>
    <t>7B2</t>
  </si>
  <si>
    <t>ENSG00000166922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</si>
</sst>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"/>
      <family val="2"/>
    </font>
    <font>
      <b/>
      <sz val="7.7"/>
      <color rgb="FF666666"/>
      <name val="Arial"/>
      <family val="2"/>
    </font>
    <font>
      <sz val="13.5"/>
      <color rgb="FF161D39"/>
      <name val="Source Sans Pro"/>
      <family val="2"/>
    </font>
    <font>
      <b/>
      <u/>
      <sz val="12"/>
      <color theme="1"/>
      <name val="Aptos"/>
      <family val="2"/>
    </font>
    <font>
      <sz val="12"/>
      <color rgb="FF0A0A0A"/>
      <name val="Consolas"/>
      <family val="3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19"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86DA-B500-41AE-B187-0230B8D69B0A}">
  <dimension ref="A1:O267"/>
  <sheetViews>
    <sheetView tabSelected="1" topLeftCell="A2" zoomScale="101" zoomScaleNormal="115" workbookViewId="0">
      <selection activeCell="C21" sqref="C21"/>
    </sheetView>
  </sheetViews>
  <sheetFormatPr defaultColWidth="10.875" defaultRowHeight="14.25"/>
  <cols>
    <col min="1" max="1" width="12.5" bestFit="1" customWidth="1"/>
    <col min="2" max="2" width="20.75" customWidth="1"/>
    <col min="3" max="3" width="54" style="14" customWidth="1"/>
    <col min="7" max="7" width="22.5" customWidth="1"/>
    <col min="8" max="8" width="28.125" customWidth="1"/>
    <col min="9" max="9" width="39.125" customWidth="1"/>
    <col min="10" max="10" width="11.5" style="2"/>
    <col min="11" max="11" width="14.5" style="2" customWidth="1"/>
    <col min="12" max="12" width="11.5" style="2"/>
    <col min="13" max="13" width="32.125" style="4" customWidth="1"/>
    <col min="15" max="15" width="16.25" customWidth="1"/>
    <col min="18" max="20" width="23.875" customWidth="1"/>
  </cols>
  <sheetData>
    <row r="1" spans="1:15" ht="15">
      <c r="A1" s="3" t="s">
        <v>48</v>
      </c>
      <c r="B1" s="3" t="s">
        <v>49</v>
      </c>
      <c r="C1" s="13" t="s">
        <v>50</v>
      </c>
      <c r="D1" s="3" t="s">
        <v>51</v>
      </c>
      <c r="E1" s="3"/>
      <c r="F1" s="3"/>
      <c r="H1" s="3"/>
      <c r="I1" s="3"/>
      <c r="J1" s="5"/>
      <c r="K1" s="5"/>
      <c r="L1" s="5"/>
      <c r="N1" s="5"/>
      <c r="O1" s="5"/>
    </row>
    <row r="2" spans="1:15" ht="63.75" customHeight="1">
      <c r="A2" t="s">
        <v>52</v>
      </c>
      <c r="C2" s="15" t="s">
        <v>53</v>
      </c>
      <c r="D2" t="s">
        <v>56</v>
      </c>
      <c r="G2" s="6"/>
      <c r="H2" s="6"/>
      <c r="I2" s="6"/>
      <c r="N2" s="8"/>
      <c r="O2" s="7"/>
    </row>
    <row r="3" spans="1:15" ht="18">
      <c r="A3" t="s">
        <v>54</v>
      </c>
      <c r="C3" s="16" t="s">
        <v>55</v>
      </c>
      <c r="D3" t="s">
        <v>57</v>
      </c>
      <c r="G3" s="6"/>
      <c r="H3" s="6"/>
      <c r="N3" s="8"/>
      <c r="O3" s="7"/>
    </row>
    <row r="4" spans="1:15" ht="31.5">
      <c r="A4" t="s">
        <v>59</v>
      </c>
      <c r="C4" s="16" t="s">
        <v>62</v>
      </c>
      <c r="D4" t="s">
        <v>66</v>
      </c>
      <c r="G4" s="6"/>
      <c r="H4" s="6"/>
      <c r="I4" s="6"/>
    </row>
    <row r="5" spans="1:15" ht="31.5">
      <c r="A5" t="s">
        <v>60</v>
      </c>
      <c r="C5" s="16" t="s">
        <v>63</v>
      </c>
      <c r="D5" t="s">
        <v>67</v>
      </c>
      <c r="G5" s="6"/>
      <c r="H5" s="6"/>
      <c r="I5" s="6"/>
    </row>
    <row r="6" spans="1:15" ht="15.75">
      <c r="A6" t="s">
        <v>64</v>
      </c>
      <c r="B6" t="s">
        <v>65</v>
      </c>
      <c r="C6" s="6" t="s">
        <v>61</v>
      </c>
      <c r="D6" t="s">
        <v>58</v>
      </c>
      <c r="H6" s="9"/>
      <c r="I6" s="9"/>
    </row>
    <row r="7" spans="1:15" ht="15.75">
      <c r="A7" t="s">
        <v>68</v>
      </c>
      <c r="C7" s="6" t="s">
        <v>73</v>
      </c>
      <c r="D7" t="s">
        <v>79</v>
      </c>
      <c r="H7" s="9"/>
      <c r="I7" s="9"/>
      <c r="K7" s="10"/>
    </row>
    <row r="8" spans="1:15" ht="15.75">
      <c r="A8" t="s">
        <v>69</v>
      </c>
      <c r="B8" t="s">
        <v>71</v>
      </c>
      <c r="C8" s="6" t="s">
        <v>74</v>
      </c>
      <c r="H8" s="6"/>
      <c r="I8" s="6"/>
    </row>
    <row r="9" spans="1:15" ht="15.75">
      <c r="A9" t="s">
        <v>70</v>
      </c>
      <c r="B9" t="s">
        <v>72</v>
      </c>
      <c r="C9" s="6" t="s">
        <v>75</v>
      </c>
      <c r="H9" s="6"/>
      <c r="I9" s="6"/>
    </row>
    <row r="10" spans="1:15" ht="15.75">
      <c r="A10" t="s">
        <v>76</v>
      </c>
      <c r="B10" t="s">
        <v>78</v>
      </c>
      <c r="C10" s="6" t="s">
        <v>77</v>
      </c>
      <c r="D10" t="s">
        <v>80</v>
      </c>
      <c r="H10" s="6"/>
      <c r="I10" s="6"/>
    </row>
    <row r="11" spans="1:15" ht="15.75">
      <c r="A11" t="s">
        <v>81</v>
      </c>
      <c r="C11" s="6" t="s">
        <v>82</v>
      </c>
      <c r="D11" t="s">
        <v>83</v>
      </c>
      <c r="H11" s="6"/>
      <c r="I11" s="6"/>
    </row>
    <row r="12" spans="1:15" ht="15.75">
      <c r="A12" t="s">
        <v>87</v>
      </c>
      <c r="C12" s="6" t="s">
        <v>90</v>
      </c>
      <c r="D12" t="s">
        <v>92</v>
      </c>
      <c r="H12" s="6"/>
      <c r="I12" s="6"/>
      <c r="M12" s="12"/>
    </row>
    <row r="13" spans="1:15" ht="15.75">
      <c r="A13" t="s">
        <v>88</v>
      </c>
      <c r="C13" s="6" t="s">
        <v>89</v>
      </c>
      <c r="D13" t="s">
        <v>91</v>
      </c>
      <c r="H13" s="11"/>
      <c r="I13" s="11"/>
      <c r="M13" s="12"/>
    </row>
    <row r="14" spans="1:15" ht="15.75">
      <c r="A14" t="s">
        <v>93</v>
      </c>
      <c r="C14" s="6" t="s">
        <v>95</v>
      </c>
      <c r="D14" t="s">
        <v>91</v>
      </c>
      <c r="H14" s="6"/>
      <c r="I14" s="6"/>
      <c r="M14" s="12"/>
    </row>
    <row r="15" spans="1:15" ht="15.75">
      <c r="A15" t="s">
        <v>94</v>
      </c>
      <c r="C15" s="6" t="s">
        <v>96</v>
      </c>
      <c r="D15" t="s">
        <v>97</v>
      </c>
      <c r="H15" s="6"/>
      <c r="I15" s="6"/>
      <c r="M15" s="12"/>
    </row>
    <row r="16" spans="1:15" ht="57.75">
      <c r="A16" t="s">
        <v>84</v>
      </c>
      <c r="B16" t="s">
        <v>98</v>
      </c>
      <c r="C16" s="14" t="s">
        <v>105</v>
      </c>
      <c r="D16" t="s">
        <v>86</v>
      </c>
      <c r="H16" s="6"/>
      <c r="I16" s="6"/>
      <c r="M16" s="12"/>
    </row>
    <row r="17" spans="1:13" ht="15.75">
      <c r="A17" s="6" t="s">
        <v>100</v>
      </c>
      <c r="C17" s="6" t="s">
        <v>99</v>
      </c>
      <c r="D17" t="s">
        <v>103</v>
      </c>
      <c r="H17" s="11"/>
      <c r="I17" s="11"/>
      <c r="M17" s="12"/>
    </row>
    <row r="18" spans="1:13" ht="15.75">
      <c r="A18" t="s">
        <v>101</v>
      </c>
      <c r="C18" s="6" t="s">
        <v>102</v>
      </c>
      <c r="D18" t="s">
        <v>91</v>
      </c>
      <c r="H18" s="11"/>
      <c r="I18" s="11"/>
      <c r="M18" s="12"/>
    </row>
    <row r="19" spans="1:13" ht="29.25">
      <c r="A19" t="s">
        <v>85</v>
      </c>
      <c r="B19" t="s">
        <v>104</v>
      </c>
      <c r="C19" s="14" t="s">
        <v>106</v>
      </c>
      <c r="H19" s="6"/>
      <c r="I19" s="6"/>
    </row>
    <row r="20" spans="1:13" ht="72">
      <c r="A20" t="s">
        <v>107</v>
      </c>
      <c r="B20" t="s">
        <v>109</v>
      </c>
      <c r="C20" s="14" t="s">
        <v>110</v>
      </c>
      <c r="D20" t="s">
        <v>108</v>
      </c>
      <c r="H20" s="6"/>
      <c r="I20" s="6"/>
    </row>
    <row r="21" spans="1:13" ht="15.75">
      <c r="A21" s="6" t="s">
        <v>111</v>
      </c>
      <c r="C21" s="6" t="s">
        <v>115</v>
      </c>
      <c r="D21" t="s">
        <v>112</v>
      </c>
      <c r="H21" s="6"/>
    </row>
    <row r="22" spans="1:13" ht="15.75">
      <c r="A22" s="6" t="s">
        <v>114</v>
      </c>
      <c r="C22" s="6" t="s">
        <v>113</v>
      </c>
    </row>
    <row r="23" spans="1:13" ht="15.75">
      <c r="A23" s="6" t="s">
        <v>117</v>
      </c>
      <c r="C23" s="6" t="s">
        <v>116</v>
      </c>
    </row>
    <row r="24" spans="1:13" ht="15.75">
      <c r="A24" s="6" t="s">
        <v>118</v>
      </c>
      <c r="C24" s="6" t="s">
        <v>121</v>
      </c>
    </row>
    <row r="25" spans="1:13" ht="15.75">
      <c r="A25" s="6" t="s">
        <v>119</v>
      </c>
      <c r="C25" s="6" t="s">
        <v>120</v>
      </c>
    </row>
    <row r="26" spans="1:13" ht="15.75">
      <c r="A26" s="6" t="s">
        <v>123</v>
      </c>
      <c r="C26" s="6" t="s">
        <v>122</v>
      </c>
    </row>
    <row r="27" spans="1:13" ht="129">
      <c r="A27" s="6" t="s">
        <v>124</v>
      </c>
      <c r="B27" t="s">
        <v>125</v>
      </c>
      <c r="C27" s="14" t="s">
        <v>126</v>
      </c>
    </row>
    <row r="28" spans="1:13" ht="15.75">
      <c r="A28" s="6" t="s">
        <v>127</v>
      </c>
      <c r="C28" s="6" t="s">
        <v>128</v>
      </c>
      <c r="D28" t="s">
        <v>129</v>
      </c>
    </row>
    <row r="29" spans="1:13" ht="15.75">
      <c r="A29" s="6" t="s">
        <v>130</v>
      </c>
      <c r="C29" s="6" t="s">
        <v>131</v>
      </c>
      <c r="D29" t="s">
        <v>132</v>
      </c>
    </row>
    <row r="30" spans="1:13" ht="15.75">
      <c r="A30" s="6" t="s">
        <v>133</v>
      </c>
      <c r="C30" s="6" t="s">
        <v>134</v>
      </c>
      <c r="D30" t="s">
        <v>91</v>
      </c>
    </row>
    <row r="31" spans="1:13" ht="15.75">
      <c r="A31" s="6" t="s">
        <v>135</v>
      </c>
      <c r="C31" s="6" t="s">
        <v>136</v>
      </c>
    </row>
    <row r="32" spans="1:13" ht="15.75">
      <c r="A32" s="6" t="s">
        <v>137</v>
      </c>
      <c r="C32" s="6" t="s">
        <v>142</v>
      </c>
    </row>
    <row r="33" spans="1:4" ht="15.75">
      <c r="A33" s="6" t="s">
        <v>140</v>
      </c>
      <c r="C33" s="6" t="s">
        <v>138</v>
      </c>
    </row>
    <row r="34" spans="1:4" ht="15.75">
      <c r="A34" s="6" t="s">
        <v>141</v>
      </c>
      <c r="C34" s="6" t="s">
        <v>139</v>
      </c>
    </row>
    <row r="35" spans="1:4" ht="15.75">
      <c r="A35" s="6" t="s">
        <v>146</v>
      </c>
      <c r="C35" s="6" t="s">
        <v>143</v>
      </c>
    </row>
    <row r="36" spans="1:4" ht="15.75">
      <c r="A36" s="6" t="s">
        <v>145</v>
      </c>
      <c r="C36" s="6" t="s">
        <v>144</v>
      </c>
    </row>
    <row r="37" spans="1:4" ht="114.75">
      <c r="A37" s="6" t="s">
        <v>147</v>
      </c>
      <c r="B37" t="s">
        <v>148</v>
      </c>
      <c r="C37" s="14" t="s">
        <v>149</v>
      </c>
      <c r="D37" t="s">
        <v>150</v>
      </c>
    </row>
    <row r="38" spans="1:4" ht="15.75">
      <c r="A38" s="6" t="s">
        <v>151</v>
      </c>
      <c r="C38" s="6" t="s">
        <v>152</v>
      </c>
    </row>
    <row r="39" spans="1:4" ht="15.75">
      <c r="A39" s="6" t="s">
        <v>153</v>
      </c>
      <c r="C39" s="6" t="s">
        <v>154</v>
      </c>
    </row>
    <row r="40" spans="1:4" ht="15.75">
      <c r="A40" s="6" t="s">
        <v>155</v>
      </c>
      <c r="C40" s="6" t="s">
        <v>156</v>
      </c>
    </row>
    <row r="41" spans="1:4" ht="15.75">
      <c r="A41" s="6" t="s">
        <v>157</v>
      </c>
      <c r="C41" s="6" t="s">
        <v>158</v>
      </c>
    </row>
    <row r="124" spans="13:13">
      <c r="M124"/>
    </row>
    <row r="125" spans="13:13">
      <c r="M125"/>
    </row>
    <row r="145" spans="11:11">
      <c r="K145"/>
    </row>
    <row r="146" spans="11:11">
      <c r="K146"/>
    </row>
    <row r="147" spans="11:11">
      <c r="K147"/>
    </row>
    <row r="148" spans="11:11">
      <c r="K148"/>
    </row>
    <row r="149" spans="11:11">
      <c r="K149"/>
    </row>
    <row r="150" spans="11:11">
      <c r="K150"/>
    </row>
    <row r="151" spans="11:11">
      <c r="K151"/>
    </row>
    <row r="152" spans="11:11">
      <c r="K152"/>
    </row>
    <row r="258" spans="11:11">
      <c r="K258"/>
    </row>
    <row r="259" spans="11:11">
      <c r="K259"/>
    </row>
    <row r="260" spans="11:11">
      <c r="K260"/>
    </row>
    <row r="261" spans="11:11">
      <c r="K261"/>
    </row>
    <row r="262" spans="11:11">
      <c r="K262"/>
    </row>
    <row r="263" spans="11:11">
      <c r="K263"/>
    </row>
    <row r="264" spans="11:11">
      <c r="K264"/>
    </row>
    <row r="265" spans="11:11">
      <c r="K265"/>
    </row>
    <row r="266" spans="11:11">
      <c r="K266"/>
    </row>
    <row r="267" spans="11:11">
      <c r="K267"/>
    </row>
  </sheetData>
  <phoneticPr fontId="1" type="noConversion"/>
  <conditionalFormatting sqref="C1 I141:I143 G143 H147:H151 G150:G267 I150:I1048576">
    <cfRule type="containsText" dxfId="18" priority="26" operator="containsText" text="acylcarnitine">
      <formula>NOT(ISERROR(SEARCH("acylcarnitine",C1)))</formula>
    </cfRule>
    <cfRule type="containsText" dxfId="17" priority="27" operator="containsText" text="acyl_C">
      <formula>NOT(ISERROR(SEARCH("acyl_C",C1)))</formula>
    </cfRule>
    <cfRule type="containsText" dxfId="16" priority="28" operator="containsText" text="acyl_2E">
      <formula>NOT(ISERROR(SEARCH("acyl_2E",C1)))</formula>
    </cfRule>
    <cfRule type="containsText" dxfId="15" priority="29" operator="containsText" text="acyl_3hydro">
      <formula>NOT(ISERROR(SEARCH("acyl_3hydro",C1)))</formula>
    </cfRule>
    <cfRule type="containsText" dxfId="14" priority="30" operator="containsText" text="acyl_3oxo">
      <formula>NOT(ISERROR(SEARCH("acyl_3oxo",C1)))</formula>
    </cfRule>
  </conditionalFormatting>
  <conditionalFormatting sqref="I1 I21:I107">
    <cfRule type="containsText" dxfId="13" priority="31" operator="containsText" text="acylcarnitine">
      <formula>NOT(ISERROR(SEARCH("acylcarnitine",I1)))</formula>
    </cfRule>
    <cfRule type="containsText" dxfId="12" priority="32" operator="containsText" text="acyl_C">
      <formula>NOT(ISERROR(SEARCH("acyl_C",I1)))</formula>
    </cfRule>
    <cfRule type="containsText" dxfId="11" priority="33" operator="containsText" text="acyl_2E">
      <formula>NOT(ISERROR(SEARCH("acyl_2E",I1)))</formula>
    </cfRule>
    <cfRule type="containsText" dxfId="10" priority="34" operator="containsText" text="acyl_3hydro">
      <formula>NOT(ISERROR(SEARCH("acyl_3hydro",I1)))</formula>
    </cfRule>
    <cfRule type="containsText" dxfId="9" priority="35" operator="containsText" text="acyl_3oxo">
      <formula>NOT(ISERROR(SEARCH("acyl_3oxo",I1)))</formula>
    </cfRule>
  </conditionalFormatting>
  <conditionalFormatting sqref="I109:I125">
    <cfRule type="containsText" dxfId="8" priority="21" operator="containsText" text="acylcarnitine">
      <formula>NOT(ISERROR(SEARCH("acylcarnitine",I109)))</formula>
    </cfRule>
    <cfRule type="containsText" dxfId="7" priority="22" operator="containsText" text="acyl_C">
      <formula>NOT(ISERROR(SEARCH("acyl_C",I109)))</formula>
    </cfRule>
    <cfRule type="containsText" dxfId="6" priority="23" operator="containsText" text="acyl_2E">
      <formula>NOT(ISERROR(SEARCH("acyl_2E",I109)))</formula>
    </cfRule>
    <cfRule type="containsText" dxfId="5" priority="24" operator="containsText" text="acyl_3hydro">
      <formula>NOT(ISERROR(SEARCH("acyl_3hydro",I109)))</formula>
    </cfRule>
    <cfRule type="containsText" dxfId="4" priority="25" operator="containsText" text="acyl_3oxo">
      <formula>NOT(ISERROR(SEARCH("acyl_3oxo",I109)))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FABE-BBAA-42F0-8C19-3F54C559520F}">
  <dimension ref="A1:C24"/>
  <sheetViews>
    <sheetView topLeftCell="A10" workbookViewId="0">
      <selection activeCell="B2" sqref="B2"/>
    </sheetView>
  </sheetViews>
  <sheetFormatPr defaultColWidth="10.875" defaultRowHeight="14.25"/>
  <cols>
    <col min="1" max="1" width="21.5" customWidth="1"/>
    <col min="2" max="2" width="26.125" customWidth="1"/>
  </cols>
  <sheetData>
    <row r="1" spans="1:3">
      <c r="A1" t="s">
        <v>0</v>
      </c>
      <c r="B1" t="s">
        <v>1</v>
      </c>
    </row>
    <row r="2" spans="1:3">
      <c r="A2" s="1" t="s">
        <v>2</v>
      </c>
      <c r="B2" s="1" t="s">
        <v>3</v>
      </c>
      <c r="C2" s="1"/>
    </row>
    <row r="3" spans="1:3">
      <c r="A3" s="1" t="s">
        <v>4</v>
      </c>
      <c r="B3" s="1" t="s">
        <v>5</v>
      </c>
      <c r="C3" s="1"/>
    </row>
    <row r="4" spans="1:3">
      <c r="A4" s="1" t="s">
        <v>6</v>
      </c>
      <c r="B4" s="1" t="s">
        <v>7</v>
      </c>
      <c r="C4" s="1"/>
    </row>
    <row r="5" spans="1:3">
      <c r="A5" s="1" t="s">
        <v>8</v>
      </c>
      <c r="B5" s="1" t="s">
        <v>9</v>
      </c>
      <c r="C5" s="1"/>
    </row>
    <row r="6" spans="1:3">
      <c r="A6" s="1" t="s">
        <v>10</v>
      </c>
      <c r="B6" s="1" t="s">
        <v>11</v>
      </c>
      <c r="C6" s="1"/>
    </row>
    <row r="7" spans="1:3">
      <c r="A7" s="1" t="s">
        <v>12</v>
      </c>
      <c r="B7" s="1" t="s">
        <v>13</v>
      </c>
      <c r="C7" s="1"/>
    </row>
    <row r="8" spans="1:3">
      <c r="A8" s="1" t="s">
        <v>14</v>
      </c>
      <c r="B8" s="1" t="s">
        <v>15</v>
      </c>
      <c r="C8" s="1"/>
    </row>
    <row r="9" spans="1:3">
      <c r="A9" s="1" t="s">
        <v>16</v>
      </c>
      <c r="B9" s="1" t="s">
        <v>17</v>
      </c>
      <c r="C9" s="1"/>
    </row>
    <row r="10" spans="1:3">
      <c r="A10" s="1" t="s">
        <v>18</v>
      </c>
      <c r="B10" s="1" t="s">
        <v>19</v>
      </c>
      <c r="C10" s="1"/>
    </row>
    <row r="11" spans="1:3">
      <c r="A11" s="1" t="s">
        <v>20</v>
      </c>
      <c r="B11" s="1" t="s">
        <v>21</v>
      </c>
      <c r="C11" s="1"/>
    </row>
    <row r="12" spans="1:3">
      <c r="A12" s="1" t="s">
        <v>22</v>
      </c>
      <c r="B12" s="1" t="s">
        <v>23</v>
      </c>
      <c r="C12" s="1"/>
    </row>
    <row r="13" spans="1:3">
      <c r="A13" s="1" t="s">
        <v>24</v>
      </c>
      <c r="B13" s="1" t="s">
        <v>25</v>
      </c>
      <c r="C13" s="1"/>
    </row>
    <row r="14" spans="1:3">
      <c r="A14" s="1" t="s">
        <v>26</v>
      </c>
      <c r="B14" s="1" t="s">
        <v>27</v>
      </c>
      <c r="C14" s="1"/>
    </row>
    <row r="15" spans="1:3">
      <c r="A15" s="1" t="s">
        <v>28</v>
      </c>
      <c r="B15" s="1" t="s">
        <v>29</v>
      </c>
      <c r="C15" s="1"/>
    </row>
    <row r="16" spans="1:3">
      <c r="A16" s="1" t="s">
        <v>30</v>
      </c>
      <c r="B16" s="1" t="s">
        <v>31</v>
      </c>
      <c r="C16" s="1"/>
    </row>
    <row r="17" spans="1:3">
      <c r="A17" s="1" t="s">
        <v>32</v>
      </c>
      <c r="B17" s="1" t="s">
        <v>33</v>
      </c>
      <c r="C17" s="1"/>
    </row>
    <row r="18" spans="1:3">
      <c r="A18" s="1" t="s">
        <v>34</v>
      </c>
      <c r="B18" s="1" t="s">
        <v>35</v>
      </c>
      <c r="C18" s="1"/>
    </row>
    <row r="19" spans="1:3">
      <c r="A19" s="1" t="s">
        <v>36</v>
      </c>
      <c r="B19" s="1" t="s">
        <v>37</v>
      </c>
      <c r="C19" s="1"/>
    </row>
    <row r="20" spans="1:3">
      <c r="A20" s="1" t="s">
        <v>38</v>
      </c>
      <c r="B20" s="1" t="s">
        <v>39</v>
      </c>
      <c r="C20" s="1"/>
    </row>
    <row r="21" spans="1:3">
      <c r="A21" s="1" t="s">
        <v>40</v>
      </c>
      <c r="B21" s="1" t="s">
        <v>41</v>
      </c>
      <c r="C21" s="1"/>
    </row>
    <row r="22" spans="1:3">
      <c r="A22" s="1" t="s">
        <v>42</v>
      </c>
      <c r="B22" s="1" t="s">
        <v>43</v>
      </c>
      <c r="C22" s="1"/>
    </row>
    <row r="23" spans="1:3">
      <c r="A23" s="1" t="s">
        <v>44</v>
      </c>
      <c r="B23" s="1" t="s">
        <v>45</v>
      </c>
      <c r="C23" s="1"/>
    </row>
    <row r="24" spans="1:3">
      <c r="A24" s="1" t="s">
        <v>46</v>
      </c>
      <c r="B24" s="1" t="s">
        <v>47</v>
      </c>
      <c r="C24" s="1"/>
    </row>
  </sheetData>
  <conditionalFormatting sqref="B2:B24">
    <cfRule type="containsText" dxfId="3" priority="1" operator="containsText" text="acyl_C">
      <formula>NOT(ISERROR(SEARCH("acyl_C",B2)))</formula>
    </cfRule>
    <cfRule type="containsText" dxfId="2" priority="2" operator="containsText" text="acyl_2E">
      <formula>NOT(ISERROR(SEARCH("acyl_2E",B2)))</formula>
    </cfRule>
    <cfRule type="containsText" dxfId="1" priority="3" operator="containsText" text="acyl_3hydro">
      <formula>NOT(ISERROR(SEARCH("acyl_3hydro",B2)))</formula>
    </cfRule>
    <cfRule type="containsText" dxfId="0" priority="4" operator="containsText" text="acyl_3oxo">
      <formula>NOT(ISERROR(SEARCH("acyl_3oxo",B2)))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mets</vt:lpstr>
      <vt:lpstr>already in the 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Ina Maltais-Payette</dc:creator>
  <cp:keywords/>
  <dc:description/>
  <cp:lastModifiedBy>Drs. Jelle's PC</cp:lastModifiedBy>
  <cp:revision/>
  <dcterms:created xsi:type="dcterms:W3CDTF">2025-01-14T11:32:45Z</dcterms:created>
  <dcterms:modified xsi:type="dcterms:W3CDTF">2025-11-30T19:16:27Z</dcterms:modified>
  <cp:category/>
  <cp:contentStatus/>
</cp:coreProperties>
</file>